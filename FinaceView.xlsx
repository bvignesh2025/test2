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4744_cognizant_com/Documents/Desktop/java_practice/"/>
    </mc:Choice>
  </mc:AlternateContent>
  <xr:revisionPtr revIDLastSave="17" documentId="8_{027F2A37-862E-42A7-BA69-D44577200B96}" xr6:coauthVersionLast="47" xr6:coauthVersionMax="47" xr10:uidLastSave="{99632E4E-593D-4020-95A8-28D246BF6AA6}"/>
  <bookViews>
    <workbookView xWindow="-110" yWindow="-110" windowWidth="19420" windowHeight="10300" xr2:uid="{D888B38E-435A-43A9-A318-D151701423B9}"/>
  </bookViews>
  <sheets>
    <sheet name="Cashflow" sheetId="2" r:id="rId1"/>
    <sheet name="A&amp;L" sheetId="1" r:id="rId2"/>
    <sheet name="Proje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F20" i="1"/>
  <c r="F21" i="1" s="1"/>
  <c r="C5" i="3" s="1"/>
  <c r="F37" i="1"/>
  <c r="F47" i="2" l="1"/>
  <c r="F23" i="2" s="1"/>
  <c r="C7" i="3" s="1"/>
  <c r="D7" i="3" s="1"/>
  <c r="E7" i="3" s="1"/>
  <c r="F7" i="3" s="1"/>
  <c r="G7" i="3" s="1"/>
  <c r="H7" i="3" s="1"/>
  <c r="I7" i="3" s="1"/>
  <c r="J7" i="3" s="1"/>
  <c r="K7" i="3" s="1"/>
  <c r="L7" i="3" s="1"/>
  <c r="M7" i="3" s="1"/>
  <c r="C8" i="3"/>
  <c r="D5" i="3" s="1"/>
  <c r="D6" i="3" s="1"/>
  <c r="D8" i="3" l="1"/>
  <c r="E5" i="3" s="1"/>
  <c r="E6" i="3" s="1"/>
  <c r="E8" i="3" l="1"/>
  <c r="F5" i="3" s="1"/>
  <c r="F6" i="3" s="1"/>
  <c r="F8" i="3" l="1"/>
  <c r="G5" i="3" s="1"/>
  <c r="G6" i="3" s="1"/>
  <c r="G8" i="3" l="1"/>
  <c r="H5" i="3" s="1"/>
  <c r="H6" i="3" s="1"/>
  <c r="H8" i="3" l="1"/>
  <c r="I5" i="3" s="1"/>
  <c r="I6" i="3" s="1"/>
  <c r="I8" i="3" l="1"/>
  <c r="J5" i="3" s="1"/>
  <c r="J6" i="3" s="1"/>
  <c r="J8" i="3" l="1"/>
  <c r="K5" i="3" s="1"/>
  <c r="K6" i="3" s="1"/>
  <c r="K8" i="3" l="1"/>
  <c r="L5" i="3" s="1"/>
  <c r="L6" i="3" s="1"/>
  <c r="L8" i="3" l="1"/>
  <c r="M5" i="3" s="1"/>
  <c r="M6" i="3" s="1"/>
  <c r="M8" i="3" l="1"/>
</calcChain>
</file>

<file path=xl/sharedStrings.xml><?xml version="1.0" encoding="utf-8"?>
<sst xmlns="http://schemas.openxmlformats.org/spreadsheetml/2006/main" count="104" uniqueCount="85">
  <si>
    <t>Category</t>
  </si>
  <si>
    <t>Item</t>
  </si>
  <si>
    <t>Current Value</t>
  </si>
  <si>
    <t xml:space="preserve">Interest/Growth Rate % </t>
  </si>
  <si>
    <t>Section A: Assets (What puts money in your pocket)</t>
  </si>
  <si>
    <t>Liquid Assets</t>
  </si>
  <si>
    <t>Cash</t>
  </si>
  <si>
    <t>Savings</t>
  </si>
  <si>
    <t>Emergency Fund</t>
  </si>
  <si>
    <t>Investments:</t>
  </si>
  <si>
    <t>Stocks</t>
  </si>
  <si>
    <t>Bonds</t>
  </si>
  <si>
    <t>ETFs</t>
  </si>
  <si>
    <t>Mutual Funds</t>
  </si>
  <si>
    <t>Retirement:</t>
  </si>
  <si>
    <t>PF - Provident Funds - EPFO</t>
  </si>
  <si>
    <t>Real Estate:</t>
  </si>
  <si>
    <t>Alternative</t>
  </si>
  <si>
    <t>Business Equity</t>
  </si>
  <si>
    <t>Section B: Liabilities (What takes money out)</t>
  </si>
  <si>
    <t>Short Term:</t>
  </si>
  <si>
    <t>Credit Card Debt</t>
  </si>
  <si>
    <t>Personal Loans.</t>
  </si>
  <si>
    <t>Long Term:</t>
  </si>
  <si>
    <t>Student Loans</t>
  </si>
  <si>
    <t>Car Loans.</t>
  </si>
  <si>
    <t>Mortgages</t>
  </si>
  <si>
    <t>Primary Mortgage</t>
  </si>
  <si>
    <t>Rental Mortgages.</t>
  </si>
  <si>
    <t>Monthly Average</t>
  </si>
  <si>
    <t>Annual Total</t>
  </si>
  <si>
    <t>Section A: Income Scopes</t>
  </si>
  <si>
    <t>Primary:</t>
  </si>
  <si>
    <t>Base Salary (Post-tax).</t>
  </si>
  <si>
    <t>Variable:</t>
  </si>
  <si>
    <t>Bonuses</t>
  </si>
  <si>
    <t>Commissions (Estimate conservatively)</t>
  </si>
  <si>
    <t>Passive:</t>
  </si>
  <si>
    <t>Dividends</t>
  </si>
  <si>
    <t>Rental Income (Net)</t>
  </si>
  <si>
    <t>Royalties.</t>
  </si>
  <si>
    <t xml:space="preserve"> Consulting,</t>
  </si>
  <si>
    <r>
      <t>Side Hustle:</t>
    </r>
    <r>
      <rPr>
        <sz val="11"/>
        <color theme="1"/>
        <rFont val="Aptos Narrow"/>
        <family val="2"/>
        <scheme val="minor"/>
      </rPr>
      <t xml:space="preserve"> </t>
    </r>
  </si>
  <si>
    <t>Freelancing.</t>
  </si>
  <si>
    <t>Section B: Expense Scopes</t>
  </si>
  <si>
    <t>Fixed (Needs):</t>
  </si>
  <si>
    <t>Rent/Mortgage</t>
  </si>
  <si>
    <t>Insurance</t>
  </si>
  <si>
    <t>Utilities</t>
  </si>
  <si>
    <t>WiFi</t>
  </si>
  <si>
    <t>Variable (Wants)</t>
  </si>
  <si>
    <t>Dining</t>
  </si>
  <si>
    <t>Entertainment</t>
  </si>
  <si>
    <t>Subscriptions</t>
  </si>
  <si>
    <t>Shopping</t>
  </si>
  <si>
    <t>Periodic</t>
  </si>
  <si>
    <t>Travel</t>
  </si>
  <si>
    <t>Car Maintenance</t>
  </si>
  <si>
    <t>Gifts/Holidays</t>
  </si>
  <si>
    <t>Sno</t>
  </si>
  <si>
    <t>sno</t>
  </si>
  <si>
    <t>Networth</t>
  </si>
  <si>
    <t>Total</t>
  </si>
  <si>
    <t>Surplus</t>
  </si>
  <si>
    <t>The Crystal Ball (Projections)</t>
  </si>
  <si>
    <t>Current ( Year 0 )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</si>
  <si>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</si>
  <si>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</si>
  <si>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</si>
  <si>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</si>
  <si>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</si>
  <si>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</si>
  <si>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</si>
  <si>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</si>
  <si>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</si>
  <si>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</si>
  <si>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Start Balance</t>
  </si>
  <si>
    <t>Investment Return</t>
  </si>
  <si>
    <t>Annual Savings</t>
  </si>
  <si>
    <t>End Balance</t>
  </si>
  <si>
    <t>Body Care</t>
  </si>
  <si>
    <t>2% annual growith in incomes reflected in the annual savings of that year</t>
  </si>
  <si>
    <t>7% investment return (assuming we invest the starting balance 100% which is not possible)</t>
  </si>
  <si>
    <t>Investment Return Rate:</t>
  </si>
  <si>
    <t>Profession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</si>
</sst>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3" fillId="0" borderId="1" xfId="0" applyFont="1" applyBorder="1"/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  <xf numFmtId="0" fontId="2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7242-C633-4690-BFB6-A24007B16B41}">
  <dimension ref="A2:F52"/>
  <sheetViews>
    <sheetView tabSelected="1" topLeftCell="A31" workbookViewId="0">
      <selection activeCell="H42" sqref="H42"/>
    </sheetView>
  </sheetViews>
  <sheetFormatPr defaultRowHeight="14.5" x14ac:dyDescent="0.35"/>
  <cols>
    <col min="1" max="1" width="5" bestFit="1" customWidth="1"/>
    <col min="2" max="2" width="58.81640625" bestFit="1" customWidth="1"/>
    <col min="3" max="3" width="4.81640625" bestFit="1" customWidth="1"/>
    <col min="4" max="4" width="33" bestFit="1" customWidth="1"/>
    <col min="5" max="5" width="18.453125" bestFit="1" customWidth="1"/>
    <col min="6" max="6" width="14.26953125" bestFit="1" customWidth="1"/>
    <col min="7" max="7" width="13.26953125" customWidth="1"/>
  </cols>
  <sheetData>
    <row r="2" spans="1:6" s="7" customFormat="1" ht="26" x14ac:dyDescent="0.6">
      <c r="B2" s="6" t="s">
        <v>31</v>
      </c>
      <c r="C2" s="6"/>
      <c r="D2" s="6"/>
      <c r="E2" s="2"/>
    </row>
    <row r="4" spans="1:6" s="2" customFormat="1" ht="18.5" x14ac:dyDescent="0.45">
      <c r="A4" s="9" t="s">
        <v>59</v>
      </c>
      <c r="B4" s="9" t="s">
        <v>0</v>
      </c>
      <c r="C4" s="9" t="s">
        <v>60</v>
      </c>
      <c r="D4" s="9"/>
      <c r="E4" s="9" t="s">
        <v>29</v>
      </c>
      <c r="F4" s="9" t="s">
        <v>30</v>
      </c>
    </row>
    <row r="5" spans="1:6" x14ac:dyDescent="0.35">
      <c r="A5" s="11"/>
      <c r="B5" s="11"/>
      <c r="C5" s="11"/>
      <c r="D5" s="11"/>
      <c r="E5" s="11"/>
      <c r="F5" s="11"/>
    </row>
    <row r="6" spans="1:6" x14ac:dyDescent="0.35">
      <c r="A6" s="11"/>
      <c r="B6" s="11"/>
      <c r="C6" s="11"/>
      <c r="D6" s="11"/>
      <c r="E6" s="11"/>
      <c r="F6" s="11"/>
    </row>
    <row r="7" spans="1:6" x14ac:dyDescent="0.35">
      <c r="A7" s="11">
        <v>1</v>
      </c>
      <c r="B7" s="10" t="s">
        <v>32</v>
      </c>
      <c r="C7" s="10"/>
      <c r="D7" s="10"/>
      <c r="E7" s="11"/>
      <c r="F7" s="11"/>
    </row>
    <row r="8" spans="1:6" x14ac:dyDescent="0.35">
      <c r="A8" s="11"/>
      <c r="B8" s="11"/>
      <c r="C8" s="11">
        <v>1</v>
      </c>
      <c r="D8" s="11" t="s">
        <v>33</v>
      </c>
      <c r="E8" s="11"/>
      <c r="F8" s="11"/>
    </row>
    <row r="9" spans="1:6" x14ac:dyDescent="0.35">
      <c r="A9" s="11"/>
      <c r="B9" s="11"/>
      <c r="C9" s="11"/>
      <c r="D9" s="11"/>
      <c r="E9" s="11"/>
      <c r="F9" s="11"/>
    </row>
    <row r="10" spans="1:6" x14ac:dyDescent="0.35">
      <c r="A10" s="11">
        <v>2</v>
      </c>
      <c r="B10" s="10" t="s">
        <v>34</v>
      </c>
      <c r="C10" s="10"/>
      <c r="D10" s="11"/>
      <c r="E10" s="11"/>
      <c r="F10" s="11"/>
    </row>
    <row r="11" spans="1:6" x14ac:dyDescent="0.35">
      <c r="A11" s="11"/>
      <c r="B11" s="11"/>
      <c r="C11" s="11">
        <v>1</v>
      </c>
      <c r="D11" s="11" t="s">
        <v>35</v>
      </c>
      <c r="E11" s="11"/>
      <c r="F11" s="11"/>
    </row>
    <row r="12" spans="1:6" x14ac:dyDescent="0.35">
      <c r="A12" s="11"/>
      <c r="B12" s="11"/>
      <c r="C12" s="11">
        <v>2</v>
      </c>
      <c r="D12" s="11" t="s">
        <v>36</v>
      </c>
      <c r="E12" s="11"/>
      <c r="F12" s="11"/>
    </row>
    <row r="13" spans="1:6" x14ac:dyDescent="0.35">
      <c r="A13" s="11"/>
      <c r="B13" s="11"/>
      <c r="C13" s="11"/>
      <c r="D13" s="11"/>
      <c r="E13" s="11"/>
      <c r="F13" s="11"/>
    </row>
    <row r="14" spans="1:6" x14ac:dyDescent="0.35">
      <c r="A14" s="11">
        <v>3</v>
      </c>
      <c r="B14" s="10" t="s">
        <v>37</v>
      </c>
      <c r="C14" s="10"/>
      <c r="D14" s="11"/>
      <c r="E14" s="11"/>
      <c r="F14" s="11"/>
    </row>
    <row r="15" spans="1:6" x14ac:dyDescent="0.35">
      <c r="A15" s="11"/>
      <c r="B15" s="11"/>
      <c r="C15" s="11">
        <v>1</v>
      </c>
      <c r="D15" s="11" t="s">
        <v>38</v>
      </c>
      <c r="E15" s="11"/>
      <c r="F15" s="11"/>
    </row>
    <row r="16" spans="1:6" x14ac:dyDescent="0.35">
      <c r="A16" s="11"/>
      <c r="B16" s="11"/>
      <c r="C16" s="11">
        <v>2</v>
      </c>
      <c r="D16" s="11" t="s">
        <v>39</v>
      </c>
      <c r="E16" s="11"/>
      <c r="F16" s="11"/>
    </row>
    <row r="17" spans="1:6" x14ac:dyDescent="0.35">
      <c r="A17" s="11"/>
      <c r="B17" s="11"/>
      <c r="C17" s="11">
        <v>3</v>
      </c>
      <c r="D17" s="11" t="s">
        <v>40</v>
      </c>
      <c r="E17" s="11"/>
      <c r="F17" s="11"/>
    </row>
    <row r="18" spans="1:6" x14ac:dyDescent="0.35">
      <c r="A18" s="11"/>
      <c r="B18" s="11"/>
      <c r="C18" s="11"/>
      <c r="D18" s="11"/>
      <c r="E18" s="11"/>
      <c r="F18" s="11"/>
    </row>
    <row r="19" spans="1:6" x14ac:dyDescent="0.35">
      <c r="A19" s="11"/>
      <c r="B19" s="10" t="s">
        <v>42</v>
      </c>
      <c r="C19" s="10"/>
      <c r="D19" s="11"/>
      <c r="E19" s="11"/>
      <c r="F19" s="11"/>
    </row>
    <row r="20" spans="1:6" x14ac:dyDescent="0.35">
      <c r="A20" s="11"/>
      <c r="B20" s="11"/>
      <c r="C20" s="11">
        <v>1</v>
      </c>
      <c r="D20" s="11" t="s">
        <v>41</v>
      </c>
      <c r="E20" s="11"/>
      <c r="F20" s="11"/>
    </row>
    <row r="21" spans="1:6" x14ac:dyDescent="0.35">
      <c r="A21" s="11"/>
      <c r="B21" s="11"/>
      <c r="C21" s="11">
        <v>2</v>
      </c>
      <c r="D21" s="11" t="s">
        <v>43</v>
      </c>
      <c r="E21" s="11"/>
      <c r="F21" s="11"/>
    </row>
    <row r="22" spans="1:6" x14ac:dyDescent="0.35">
      <c r="E22" t="s">
        <v>62</v>
      </c>
      <c r="F22">
        <f>SUM(F5:F21)</f>
        <v>0</v>
      </c>
    </row>
    <row r="23" spans="1:6" x14ac:dyDescent="0.35">
      <c r="E23" s="1" t="s">
        <v>63</v>
      </c>
      <c r="F23">
        <f>F22-F47</f>
        <v>0</v>
      </c>
    </row>
    <row r="24" spans="1:6" ht="26" x14ac:dyDescent="0.6">
      <c r="B24" s="6" t="s">
        <v>44</v>
      </c>
      <c r="C24" s="6"/>
    </row>
    <row r="26" spans="1:6" s="2" customFormat="1" ht="18.5" x14ac:dyDescent="0.45">
      <c r="A26" s="9" t="s">
        <v>59</v>
      </c>
      <c r="B26" s="9" t="s">
        <v>0</v>
      </c>
      <c r="C26" s="9" t="s">
        <v>60</v>
      </c>
      <c r="D26" s="9"/>
      <c r="E26" s="9" t="s">
        <v>29</v>
      </c>
      <c r="F26" s="9" t="s">
        <v>30</v>
      </c>
    </row>
    <row r="27" spans="1:6" x14ac:dyDescent="0.35">
      <c r="A27" s="11"/>
      <c r="B27" s="11"/>
      <c r="C27" s="11"/>
      <c r="D27" s="11"/>
      <c r="E27" s="11"/>
      <c r="F27" s="11"/>
    </row>
    <row r="28" spans="1:6" x14ac:dyDescent="0.35">
      <c r="A28" s="11">
        <v>1</v>
      </c>
      <c r="B28" s="11" t="s">
        <v>45</v>
      </c>
      <c r="C28" s="11"/>
      <c r="D28" s="11"/>
      <c r="E28" s="11"/>
      <c r="F28" s="11"/>
    </row>
    <row r="29" spans="1:6" x14ac:dyDescent="0.35">
      <c r="A29" s="11"/>
      <c r="B29" s="11"/>
      <c r="C29" s="11">
        <v>1</v>
      </c>
      <c r="D29" s="11" t="s">
        <v>46</v>
      </c>
      <c r="E29" s="11"/>
      <c r="F29" s="11"/>
    </row>
    <row r="30" spans="1:6" x14ac:dyDescent="0.35">
      <c r="A30" s="11"/>
      <c r="B30" s="11"/>
      <c r="C30" s="11">
        <v>2</v>
      </c>
      <c r="D30" s="11" t="s">
        <v>47</v>
      </c>
      <c r="E30" s="11"/>
      <c r="F30" s="11"/>
    </row>
    <row r="31" spans="1:6" x14ac:dyDescent="0.35">
      <c r="A31" s="11"/>
      <c r="B31" s="11"/>
      <c r="C31" s="11">
        <v>3</v>
      </c>
      <c r="D31" s="11" t="s">
        <v>48</v>
      </c>
      <c r="E31" s="11"/>
      <c r="F31" s="11"/>
    </row>
    <row r="32" spans="1:6" x14ac:dyDescent="0.35">
      <c r="A32" s="11"/>
      <c r="B32" s="11"/>
      <c r="C32" s="11">
        <v>4</v>
      </c>
      <c r="D32" s="11" t="s">
        <v>49</v>
      </c>
      <c r="E32" s="11"/>
      <c r="F32" s="11"/>
    </row>
    <row r="33" spans="1:6" x14ac:dyDescent="0.35">
      <c r="A33" s="11"/>
      <c r="B33" s="11"/>
      <c r="C33" s="11"/>
      <c r="D33" s="11"/>
      <c r="E33" s="11"/>
      <c r="F33" s="11"/>
    </row>
    <row r="34" spans="1:6" x14ac:dyDescent="0.35">
      <c r="A34" s="11"/>
      <c r="B34" s="11"/>
      <c r="C34" s="11"/>
      <c r="D34" s="11"/>
      <c r="E34" s="11"/>
      <c r="F34" s="11"/>
    </row>
    <row r="35" spans="1:6" x14ac:dyDescent="0.35">
      <c r="A35" s="11">
        <v>2</v>
      </c>
      <c r="B35" s="11" t="s">
        <v>50</v>
      </c>
      <c r="C35" s="11"/>
      <c r="D35" s="11"/>
      <c r="E35" s="11"/>
      <c r="F35" s="11"/>
    </row>
    <row r="36" spans="1:6" x14ac:dyDescent="0.35">
      <c r="A36" s="11"/>
      <c r="B36" s="11"/>
      <c r="C36" s="11">
        <v>1</v>
      </c>
      <c r="D36" s="11" t="s">
        <v>51</v>
      </c>
      <c r="E36" s="11"/>
      <c r="F36" s="11"/>
    </row>
    <row r="37" spans="1:6" x14ac:dyDescent="0.35">
      <c r="A37" s="11"/>
      <c r="B37" s="11"/>
      <c r="C37" s="11">
        <v>2</v>
      </c>
      <c r="D37" s="11" t="s">
        <v>52</v>
      </c>
      <c r="E37" s="11"/>
      <c r="F37" s="11"/>
    </row>
    <row r="38" spans="1:6" x14ac:dyDescent="0.35">
      <c r="A38" s="11"/>
      <c r="B38" s="11"/>
      <c r="C38" s="11">
        <v>3</v>
      </c>
      <c r="D38" s="11" t="s">
        <v>53</v>
      </c>
      <c r="E38" s="11"/>
      <c r="F38" s="11"/>
    </row>
    <row r="39" spans="1:6" x14ac:dyDescent="0.35">
      <c r="A39" s="11"/>
      <c r="B39" s="11"/>
      <c r="C39" s="11">
        <v>4</v>
      </c>
      <c r="D39" s="11" t="s">
        <v>54</v>
      </c>
      <c r="E39" s="11"/>
      <c r="F39" s="11"/>
    </row>
    <row r="40" spans="1:6" x14ac:dyDescent="0.35">
      <c r="A40" s="11"/>
      <c r="B40" s="11"/>
      <c r="C40" s="11">
        <v>5</v>
      </c>
      <c r="D40" s="11" t="s">
        <v>80</v>
      </c>
      <c r="E40" s="11"/>
      <c r="F40" s="11"/>
    </row>
    <row r="41" spans="1:6" x14ac:dyDescent="0.35">
      <c r="A41" s="11"/>
      <c r="B41" s="11"/>
      <c r="C41" s="11"/>
      <c r="D41" s="11"/>
      <c r="E41" s="11"/>
      <c r="F41" s="11"/>
    </row>
    <row r="42" spans="1:6" x14ac:dyDescent="0.35">
      <c r="A42" s="11">
        <v>3</v>
      </c>
      <c r="B42" s="11" t="s">
        <v>55</v>
      </c>
      <c r="C42" s="11"/>
      <c r="D42" s="11"/>
      <c r="E42" s="11"/>
      <c r="F42" s="11"/>
    </row>
    <row r="43" spans="1:6" x14ac:dyDescent="0.35">
      <c r="A43" s="11"/>
      <c r="B43" s="11"/>
      <c r="C43" s="11">
        <v>1</v>
      </c>
      <c r="D43" s="11" t="s">
        <v>56</v>
      </c>
      <c r="E43" s="11"/>
      <c r="F43" s="11"/>
    </row>
    <row r="44" spans="1:6" x14ac:dyDescent="0.35">
      <c r="A44" s="11"/>
      <c r="B44" s="11"/>
      <c r="C44" s="11">
        <v>2</v>
      </c>
      <c r="D44" s="11" t="s">
        <v>57</v>
      </c>
      <c r="E44" s="11"/>
      <c r="F44" s="11"/>
    </row>
    <row r="45" spans="1:6" x14ac:dyDescent="0.35">
      <c r="A45" s="11"/>
      <c r="B45" s="11"/>
      <c r="C45" s="11">
        <v>3</v>
      </c>
      <c r="D45" s="11" t="s">
        <v>84</v>
      </c>
      <c r="E45" s="11"/>
      <c r="F45" s="11"/>
    </row>
    <row r="46" spans="1:6" x14ac:dyDescent="0.35">
      <c r="A46" s="11"/>
      <c r="B46" s="11"/>
      <c r="C46" s="11">
        <v>4</v>
      </c>
      <c r="D46" s="11" t="s">
        <v>58</v>
      </c>
      <c r="E46" s="11"/>
      <c r="F46" s="11"/>
    </row>
    <row r="47" spans="1:6" x14ac:dyDescent="0.35">
      <c r="E47" t="s">
        <v>62</v>
      </c>
      <c r="F47">
        <f>SUM(F27:F46)</f>
        <v>0</v>
      </c>
    </row>
    <row r="52" spans="2:3" x14ac:dyDescent="0.35">
      <c r="B52" s="8"/>
      <c r="C5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997C-F122-42E3-87E4-58825F8BD1A5}">
  <dimension ref="A1:G37"/>
  <sheetViews>
    <sheetView topLeftCell="A23" workbookViewId="0">
      <selection activeCell="F15" sqref="F15"/>
    </sheetView>
  </sheetViews>
  <sheetFormatPr defaultColWidth="9.26953125" defaultRowHeight="14.5" x14ac:dyDescent="0.35"/>
  <cols>
    <col min="1" max="1" width="5" bestFit="1" customWidth="1"/>
    <col min="2" max="2" width="37.36328125" customWidth="1"/>
    <col min="3" max="3" width="4.81640625" bestFit="1" customWidth="1"/>
    <col min="4" max="4" width="23.26953125" bestFit="1" customWidth="1"/>
    <col min="5" max="5" width="9.26953125" bestFit="1" customWidth="1"/>
    <col min="6" max="6" width="15.6328125" bestFit="1" customWidth="1"/>
    <col min="7" max="7" width="26.26953125" bestFit="1" customWidth="1"/>
  </cols>
  <sheetData>
    <row r="1" spans="1:7" ht="23.5" x14ac:dyDescent="0.55000000000000004">
      <c r="B1" s="4" t="s">
        <v>4</v>
      </c>
      <c r="C1" s="4"/>
      <c r="D1" s="1"/>
    </row>
    <row r="3" spans="1:7" s="5" customFormat="1" ht="18.5" x14ac:dyDescent="0.45">
      <c r="A3" s="9" t="s">
        <v>59</v>
      </c>
      <c r="B3" s="9" t="s">
        <v>0</v>
      </c>
      <c r="C3" s="9" t="s">
        <v>60</v>
      </c>
      <c r="D3" s="9"/>
      <c r="E3" s="9" t="s">
        <v>1</v>
      </c>
      <c r="F3" s="9" t="s">
        <v>2</v>
      </c>
      <c r="G3" s="9" t="s">
        <v>3</v>
      </c>
    </row>
    <row r="4" spans="1:7" s="5" customFormat="1" ht="18.5" x14ac:dyDescent="0.45">
      <c r="A4" s="12"/>
      <c r="B4" s="9"/>
      <c r="C4" s="9"/>
      <c r="D4" s="9"/>
      <c r="E4" s="9"/>
      <c r="F4" s="9"/>
      <c r="G4" s="9"/>
    </row>
    <row r="5" spans="1:7" x14ac:dyDescent="0.35">
      <c r="A5" s="11">
        <v>1</v>
      </c>
      <c r="B5" s="10" t="s">
        <v>5</v>
      </c>
      <c r="C5" s="10"/>
      <c r="D5" s="10"/>
      <c r="E5" s="11"/>
      <c r="F5" s="11"/>
      <c r="G5" s="11"/>
    </row>
    <row r="6" spans="1:7" x14ac:dyDescent="0.35">
      <c r="A6" s="11"/>
      <c r="B6" s="11"/>
      <c r="C6" s="11">
        <v>1</v>
      </c>
      <c r="D6" s="11" t="s">
        <v>6</v>
      </c>
      <c r="E6" s="11"/>
      <c r="F6" s="11"/>
      <c r="G6" s="11"/>
    </row>
    <row r="7" spans="1:7" x14ac:dyDescent="0.35">
      <c r="A7" s="11"/>
      <c r="B7" s="11"/>
      <c r="C7" s="11">
        <v>2</v>
      </c>
      <c r="D7" s="11" t="s">
        <v>7</v>
      </c>
      <c r="E7" s="11"/>
      <c r="F7" s="11"/>
      <c r="G7" s="11"/>
    </row>
    <row r="8" spans="1:7" x14ac:dyDescent="0.35">
      <c r="A8" s="11"/>
      <c r="B8" s="11"/>
      <c r="C8" s="11">
        <v>3</v>
      </c>
      <c r="D8" s="11" t="s">
        <v>8</v>
      </c>
      <c r="E8" s="11"/>
      <c r="F8" s="11"/>
      <c r="G8" s="11"/>
    </row>
    <row r="9" spans="1:7" x14ac:dyDescent="0.35">
      <c r="A9" s="11">
        <v>2</v>
      </c>
      <c r="B9" s="10" t="s">
        <v>9</v>
      </c>
      <c r="C9" s="10"/>
      <c r="D9" s="11"/>
      <c r="E9" s="11"/>
      <c r="F9" s="11"/>
      <c r="G9" s="11"/>
    </row>
    <row r="10" spans="1:7" x14ac:dyDescent="0.35">
      <c r="A10" s="11"/>
      <c r="B10" s="11"/>
      <c r="C10" s="11">
        <v>1</v>
      </c>
      <c r="D10" s="11" t="s">
        <v>10</v>
      </c>
      <c r="E10" s="11"/>
      <c r="F10" s="11"/>
      <c r="G10" s="11"/>
    </row>
    <row r="11" spans="1:7" x14ac:dyDescent="0.35">
      <c r="A11" s="11"/>
      <c r="B11" s="11"/>
      <c r="C11" s="11">
        <v>2</v>
      </c>
      <c r="D11" s="11" t="s">
        <v>11</v>
      </c>
      <c r="E11" s="11"/>
      <c r="F11" s="11"/>
      <c r="G11" s="11"/>
    </row>
    <row r="12" spans="1:7" x14ac:dyDescent="0.35">
      <c r="A12" s="11"/>
      <c r="B12" s="11"/>
      <c r="C12" s="11">
        <v>3</v>
      </c>
      <c r="D12" s="11" t="s">
        <v>12</v>
      </c>
      <c r="E12" s="11"/>
      <c r="F12" s="11"/>
      <c r="G12" s="11"/>
    </row>
    <row r="13" spans="1:7" x14ac:dyDescent="0.35">
      <c r="A13" s="11"/>
      <c r="B13" s="11"/>
      <c r="C13" s="11">
        <v>4</v>
      </c>
      <c r="D13" s="11" t="s">
        <v>13</v>
      </c>
      <c r="E13" s="11"/>
      <c r="F13" s="11"/>
      <c r="G13" s="11"/>
    </row>
    <row r="14" spans="1:7" x14ac:dyDescent="0.35">
      <c r="A14" s="11">
        <v>3</v>
      </c>
      <c r="B14" s="10" t="s">
        <v>14</v>
      </c>
      <c r="C14" s="10"/>
      <c r="D14" s="11"/>
      <c r="E14" s="11"/>
      <c r="F14" s="11"/>
      <c r="G14" s="11"/>
    </row>
    <row r="15" spans="1:7" x14ac:dyDescent="0.35">
      <c r="A15" s="11"/>
      <c r="B15" s="11"/>
      <c r="C15" s="11">
        <v>1</v>
      </c>
      <c r="D15" s="11" t="s">
        <v>15</v>
      </c>
      <c r="E15" s="11"/>
      <c r="F15" s="11"/>
      <c r="G15" s="11"/>
    </row>
    <row r="16" spans="1:7" x14ac:dyDescent="0.35">
      <c r="A16" s="11">
        <v>4</v>
      </c>
      <c r="B16" s="10" t="s">
        <v>16</v>
      </c>
      <c r="C16" s="10"/>
      <c r="D16" s="11"/>
      <c r="E16" s="11"/>
      <c r="F16" s="11"/>
      <c r="G16" s="11"/>
    </row>
    <row r="17" spans="1:7" x14ac:dyDescent="0.35">
      <c r="A17" s="11"/>
      <c r="B17" s="11"/>
      <c r="C17" s="11"/>
      <c r="D17" s="11"/>
      <c r="E17" s="11"/>
      <c r="F17" s="11"/>
      <c r="G17" s="11"/>
    </row>
    <row r="18" spans="1:7" x14ac:dyDescent="0.35">
      <c r="A18" s="11">
        <v>5</v>
      </c>
      <c r="B18" s="10" t="s">
        <v>17</v>
      </c>
      <c r="C18" s="10"/>
      <c r="D18" s="11"/>
      <c r="E18" s="11"/>
      <c r="F18" s="11"/>
      <c r="G18" s="11"/>
    </row>
    <row r="19" spans="1:7" x14ac:dyDescent="0.35">
      <c r="A19" s="11"/>
      <c r="B19" s="11"/>
      <c r="C19" s="11">
        <v>1</v>
      </c>
      <c r="D19" s="11" t="s">
        <v>18</v>
      </c>
      <c r="E19" s="11"/>
      <c r="F19" s="11"/>
      <c r="G19" s="11"/>
    </row>
    <row r="20" spans="1:7" x14ac:dyDescent="0.35">
      <c r="E20" t="s">
        <v>62</v>
      </c>
      <c r="F20">
        <f>SUM(F4:F19)</f>
        <v>0</v>
      </c>
    </row>
    <row r="21" spans="1:7" ht="16" x14ac:dyDescent="0.4">
      <c r="E21" s="13" t="s">
        <v>61</v>
      </c>
      <c r="F21" s="14">
        <f>F20-F37</f>
        <v>0</v>
      </c>
    </row>
    <row r="22" spans="1:7" ht="23.5" x14ac:dyDescent="0.55000000000000004">
      <c r="B22" s="4" t="s">
        <v>19</v>
      </c>
      <c r="C22" s="4"/>
    </row>
    <row r="24" spans="1:7" ht="18.5" x14ac:dyDescent="0.45">
      <c r="A24" s="9" t="s">
        <v>59</v>
      </c>
      <c r="B24" s="9" t="s">
        <v>0</v>
      </c>
      <c r="C24" s="9" t="s">
        <v>60</v>
      </c>
      <c r="D24" s="9"/>
      <c r="E24" s="9" t="s">
        <v>1</v>
      </c>
      <c r="F24" s="9" t="s">
        <v>2</v>
      </c>
      <c r="G24" s="9" t="s">
        <v>3</v>
      </c>
    </row>
    <row r="25" spans="1:7" x14ac:dyDescent="0.35">
      <c r="A25" s="11"/>
      <c r="B25" s="11"/>
      <c r="C25" s="11"/>
      <c r="D25" s="11"/>
      <c r="E25" s="11"/>
      <c r="F25" s="11"/>
      <c r="G25" s="11"/>
    </row>
    <row r="26" spans="1:7" x14ac:dyDescent="0.35">
      <c r="A26" s="11"/>
      <c r="B26" s="10" t="s">
        <v>20</v>
      </c>
      <c r="C26" s="10"/>
      <c r="D26" s="11"/>
      <c r="E26" s="11"/>
      <c r="F26" s="11"/>
      <c r="G26" s="11"/>
    </row>
    <row r="27" spans="1:7" x14ac:dyDescent="0.35">
      <c r="A27" s="11"/>
      <c r="B27" s="11"/>
      <c r="C27" s="11">
        <v>1</v>
      </c>
      <c r="D27" s="11" t="s">
        <v>21</v>
      </c>
      <c r="E27" s="11"/>
      <c r="F27" s="11"/>
      <c r="G27" s="11"/>
    </row>
    <row r="28" spans="1:7" x14ac:dyDescent="0.35">
      <c r="A28" s="11"/>
      <c r="B28" s="11"/>
      <c r="C28" s="11">
        <v>2</v>
      </c>
      <c r="D28" s="11" t="s">
        <v>22</v>
      </c>
      <c r="E28" s="11"/>
      <c r="F28" s="11"/>
      <c r="G28" s="11"/>
    </row>
    <row r="29" spans="1:7" x14ac:dyDescent="0.35">
      <c r="A29" s="11"/>
      <c r="B29" s="11"/>
      <c r="C29" s="11"/>
      <c r="D29" s="11"/>
      <c r="E29" s="11"/>
      <c r="F29" s="11"/>
      <c r="G29" s="11"/>
    </row>
    <row r="30" spans="1:7" x14ac:dyDescent="0.35">
      <c r="A30" s="11"/>
      <c r="B30" s="10" t="s">
        <v>23</v>
      </c>
      <c r="C30" s="10"/>
      <c r="D30" s="11"/>
      <c r="E30" s="11"/>
      <c r="F30" s="11"/>
      <c r="G30" s="11"/>
    </row>
    <row r="31" spans="1:7" x14ac:dyDescent="0.35">
      <c r="A31" s="11"/>
      <c r="B31" s="11"/>
      <c r="C31" s="11">
        <v>1</v>
      </c>
      <c r="D31" s="11" t="s">
        <v>24</v>
      </c>
      <c r="E31" s="11"/>
      <c r="F31" s="11"/>
      <c r="G31" s="11"/>
    </row>
    <row r="32" spans="1:7" x14ac:dyDescent="0.35">
      <c r="A32" s="11"/>
      <c r="B32" s="11"/>
      <c r="C32" s="11">
        <v>2</v>
      </c>
      <c r="D32" s="11" t="s">
        <v>25</v>
      </c>
      <c r="E32" s="11"/>
      <c r="F32" s="11"/>
      <c r="G32" s="11"/>
    </row>
    <row r="33" spans="1:7" x14ac:dyDescent="0.35">
      <c r="A33" s="11"/>
      <c r="B33" s="11"/>
      <c r="C33" s="11"/>
      <c r="D33" s="11"/>
      <c r="E33" s="11"/>
      <c r="F33" s="11"/>
      <c r="G33" s="11"/>
    </row>
    <row r="34" spans="1:7" x14ac:dyDescent="0.35">
      <c r="A34" s="11"/>
      <c r="B34" s="10" t="s">
        <v>26</v>
      </c>
      <c r="C34" s="10"/>
      <c r="D34" s="11"/>
      <c r="E34" s="11"/>
      <c r="F34" s="11"/>
      <c r="G34" s="11"/>
    </row>
    <row r="35" spans="1:7" x14ac:dyDescent="0.35">
      <c r="A35" s="11"/>
      <c r="B35" s="11"/>
      <c r="C35" s="11">
        <v>1</v>
      </c>
      <c r="D35" s="11" t="s">
        <v>27</v>
      </c>
      <c r="E35" s="11"/>
      <c r="F35" s="11"/>
      <c r="G35" s="11"/>
    </row>
    <row r="36" spans="1:7" x14ac:dyDescent="0.35">
      <c r="A36" s="11"/>
      <c r="B36" s="11"/>
      <c r="C36" s="11">
        <v>2</v>
      </c>
      <c r="D36" s="11" t="s">
        <v>28</v>
      </c>
      <c r="E36" s="11"/>
      <c r="F36" s="11"/>
      <c r="G36" s="11"/>
    </row>
    <row r="37" spans="1:7" x14ac:dyDescent="0.35">
      <c r="E37" t="s">
        <v>62</v>
      </c>
      <c r="F37">
        <f>SUM(F25:F36)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7F6A-D07A-4A59-9FA9-4EE55C6414ED}">
  <dimension ref="A1:M10"/>
  <sheetViews>
    <sheetView workbookViewId="0">
      <selection activeCell="F13" sqref="F13"/>
    </sheetView>
  </sheetViews>
  <sheetFormatPr defaultRowHeight="14.5" x14ac:dyDescent="0.35"/>
  <cols>
    <col min="1" max="1" width="4" bestFit="1" customWidth="1"/>
    <col min="2" max="2" width="16.1796875" customWidth="1"/>
    <col min="3" max="3" width="15.1796875" customWidth="1"/>
    <col min="4" max="4" width="12" customWidth="1"/>
    <col min="5" max="5" width="14.6328125" customWidth="1"/>
    <col min="6" max="6" width="14.36328125" customWidth="1"/>
    <col min="7" max="8" width="14" customWidth="1"/>
    <col min="9" max="9" width="10" customWidth="1"/>
    <col min="10" max="10" width="15.54296875" customWidth="1"/>
    <col min="11" max="13" width="11.81640625" bestFit="1" customWidth="1"/>
  </cols>
  <sheetData>
    <row r="1" spans="1:13" ht="21" x14ac:dyDescent="0.5">
      <c r="B1" s="3" t="s">
        <v>64</v>
      </c>
      <c r="E1" t="s">
        <v>82</v>
      </c>
    </row>
    <row r="2" spans="1:13" x14ac:dyDescent="0.35">
      <c r="E2" t="s">
        <v>81</v>
      </c>
    </row>
    <row r="4" spans="1:13" s="1" customFormat="1" x14ac:dyDescent="0.35">
      <c r="A4" s="1" t="s">
        <v>59</v>
      </c>
      <c r="B4" s="1" t="s">
        <v>1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</row>
    <row r="5" spans="1:13" x14ac:dyDescent="0.35">
      <c r="A5">
        <v>1</v>
      </c>
      <c r="B5" t="s">
        <v>76</v>
      </c>
      <c r="C5">
        <f>'A&amp;L'!F21</f>
        <v>0</v>
      </c>
      <c r="D5">
        <f>C8</f>
        <v>0</v>
      </c>
      <c r="E5">
        <f>D8</f>
        <v>0</v>
      </c>
      <c r="F5">
        <f>E8</f>
        <v>0</v>
      </c>
      <c r="G5">
        <f>F8</f>
        <v>0</v>
      </c>
      <c r="H5">
        <f>G8</f>
        <v>0</v>
      </c>
      <c r="I5">
        <f>H8</f>
        <v>0</v>
      </c>
      <c r="J5">
        <f>I8</f>
        <v>0</v>
      </c>
      <c r="K5">
        <f>J8</f>
        <v>0</v>
      </c>
      <c r="L5">
        <f>K8</f>
        <v>0</v>
      </c>
      <c r="M5">
        <f>L8</f>
        <v>0</v>
      </c>
    </row>
    <row r="6" spans="1:13" x14ac:dyDescent="0.35">
      <c r="A6">
        <v>2</v>
      </c>
      <c r="B6" t="s">
        <v>77</v>
      </c>
      <c r="C6">
        <v>0</v>
      </c>
      <c r="D6">
        <f>ROUND(D5*D10,1)</f>
        <v>0</v>
      </c>
      <c r="E6">
        <f>ROUND(E5*E10,1)</f>
        <v>0</v>
      </c>
      <c r="F6">
        <f>ROUND(F5*F10,1)</f>
        <v>0</v>
      </c>
      <c r="G6">
        <f>ROUND(G5*G10,1)</f>
        <v>0</v>
      </c>
      <c r="H6">
        <f>ROUND(H5*H10,1)</f>
        <v>0</v>
      </c>
      <c r="I6">
        <f>ROUND(I5*I10,1)</f>
        <v>0</v>
      </c>
      <c r="J6">
        <f>ROUND(J5*J10,1)</f>
        <v>0</v>
      </c>
      <c r="K6">
        <f>ROUND(K5*K10,1)</f>
        <v>0</v>
      </c>
      <c r="L6">
        <f>ROUND(L5*L10,1)</f>
        <v>0</v>
      </c>
      <c r="M6">
        <f>ROUND(M5*M10,1)</f>
        <v>0</v>
      </c>
    </row>
    <row r="7" spans="1:13" x14ac:dyDescent="0.35">
      <c r="A7">
        <v>3</v>
      </c>
      <c r="B7" t="s">
        <v>78</v>
      </c>
      <c r="C7">
        <f>Cashflow!F23</f>
        <v>0</v>
      </c>
      <c r="D7">
        <f>ROUND(C7*1.02,1)</f>
        <v>0</v>
      </c>
      <c r="E7">
        <f>ROUND(D7*1.02,1)</f>
        <v>0</v>
      </c>
      <c r="F7">
        <f>ROUND(E7*1.02,1)</f>
        <v>0</v>
      </c>
      <c r="G7">
        <f>ROUND(F7*1.02,1)</f>
        <v>0</v>
      </c>
      <c r="H7">
        <f>ROUND(G7*1.02,1)</f>
        <v>0</v>
      </c>
      <c r="I7">
        <f>ROUND(H7*1.02,1)</f>
        <v>0</v>
      </c>
      <c r="J7">
        <f>ROUND(I7*1.02,1)</f>
        <v>0</v>
      </c>
      <c r="K7">
        <f>ROUND(J7*1.02,1)</f>
        <v>0</v>
      </c>
      <c r="L7">
        <f>ROUND(K7*1.02,1)</f>
        <v>0</v>
      </c>
      <c r="M7">
        <f>ROUND(L7*1.02,1)</f>
        <v>0</v>
      </c>
    </row>
    <row r="8" spans="1:13" x14ac:dyDescent="0.35">
      <c r="A8">
        <v>4</v>
      </c>
      <c r="B8" t="s">
        <v>79</v>
      </c>
      <c r="C8">
        <f>C5</f>
        <v>0</v>
      </c>
      <c r="D8">
        <f>ROUND(SUM(D5:D7),1)</f>
        <v>0</v>
      </c>
      <c r="E8">
        <f>ROUND(SUM(E5:E7),1)</f>
        <v>0</v>
      </c>
      <c r="F8">
        <f>ROUND(SUM(F5:F7),1)</f>
        <v>0</v>
      </c>
      <c r="G8">
        <f>ROUND(SUM(G5:G7),1)</f>
        <v>0</v>
      </c>
      <c r="H8">
        <f>ROUND(SUM(H5:H7),1)</f>
        <v>0</v>
      </c>
      <c r="I8">
        <f>ROUND(SUM(I5:I7),1)</f>
        <v>0</v>
      </c>
      <c r="J8">
        <f>ROUND(SUM(J5:J7),1)</f>
        <v>0</v>
      </c>
      <c r="K8">
        <f>ROUND(SUM(K5:K7),1)</f>
        <v>0</v>
      </c>
      <c r="L8">
        <f>ROUND(SUM(L5:L7),1)</f>
        <v>0</v>
      </c>
      <c r="M8">
        <f>ROUND(SUM(M5:M7),1)</f>
        <v>0</v>
      </c>
    </row>
    <row r="10" spans="1:13" x14ac:dyDescent="0.35">
      <c r="A10" t="s">
        <v>83</v>
      </c>
      <c r="C10">
        <v>7.0000000000000007E-2</v>
      </c>
      <c r="D10">
        <v>7.0000000000000007E-2</v>
      </c>
      <c r="E10">
        <v>7.0000000000000007E-2</v>
      </c>
      <c r="F10">
        <v>7.0000000000000007E-2</v>
      </c>
      <c r="G10">
        <v>7.0000000000000007E-2</v>
      </c>
      <c r="H10">
        <v>7.0000000000000007E-2</v>
      </c>
      <c r="I10">
        <v>7.0000000000000007E-2</v>
      </c>
      <c r="J10">
        <v>7.0000000000000007E-2</v>
      </c>
      <c r="K10">
        <v>7.0000000000000007E-2</v>
      </c>
      <c r="L10">
        <v>7.0000000000000007E-2</v>
      </c>
      <c r="M10">
        <v>7.0000000000000007E-2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Cashflow</vt:lpstr>
      <vt:lpstr>A&amp;L</vt:lpstr>
      <vt:lpstr>Projections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B, Vigneshwar (Cognizant)</dc:creator>
  <cp:lastModifiedBy>B, Vigneshwar (Cognizant)</cp:lastModifiedBy>
  <dcterms:created xsi:type="dcterms:W3CDTF">2026-02-09T08:28:19Z</dcterms:created>
  <dcterms:modified xsi:type="dcterms:W3CDTF">2026-02-25T06:00:00Z</dcterms:modified>
</cp:coreProperties>
</file>